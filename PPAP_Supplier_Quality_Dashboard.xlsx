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AP_Checklist" sheetId="1" r:id="rId4"/>
    <sheet state="visible" name="Dashboard" sheetId="2" r:id="rId5"/>
    <sheet state="visible" name="Instructions" sheetId="3" r:id="rId6"/>
  </sheets>
  <definedNames>
    <definedName hidden="1" localSheetId="0" name="_xlnm._FilterDatabase">PPAP_Checklist!$A$8:$F$26</definedName>
  </definedNames>
  <calcPr/>
  <extLst>
    <ext uri="GoogleSheetsCustomDataVersion2">
      <go:sheetsCustomData xmlns:go="http://customooxmlschemas.google.com/" r:id="rId7" roundtripDataChecksum="rpwG4UXtJmfakw2i2STiFc43iIahvygPcWq2YLpTjgI="/>
    </ext>
  </extLst>
</workbook>
</file>

<file path=xl/sharedStrings.xml><?xml version="1.0" encoding="utf-8"?>
<sst xmlns="http://schemas.openxmlformats.org/spreadsheetml/2006/main" count="171" uniqueCount="109">
  <si>
    <t>HOW TO USE THIS PPAP TRACKER</t>
  </si>
  <si>
    <t>SUPPLIER PPAP DOCUMENT SUBMISSION &amp; TRACKING</t>
  </si>
  <si>
    <t>1</t>
  </si>
  <si>
    <t>Supplier</t>
  </si>
  <si>
    <t>Open PPAP_Checklist and review the simulated supplier information.</t>
  </si>
  <si>
    <t>ABC Components Pvt. Ltd.</t>
  </si>
  <si>
    <t>2</t>
  </si>
  <si>
    <t>Use the Status dropdown for each PPAP element: Not Started, In Progress, Complete or Rejected.</t>
  </si>
  <si>
    <t>3</t>
  </si>
  <si>
    <t>Update Document Reference and Remarks when the supplier submits or changes a document.</t>
  </si>
  <si>
    <t>4</t>
  </si>
  <si>
    <t>Revision</t>
  </si>
  <si>
    <t>The tracker automatically calculates completion %, pending documents, completed documents and overall status.</t>
  </si>
  <si>
    <t>Rev A</t>
  </si>
  <si>
    <t>5</t>
  </si>
  <si>
    <t>Customer</t>
  </si>
  <si>
    <t>Open Dashboard to view the supplier's PPAP status and priority action plan.</t>
  </si>
  <si>
    <t xml:space="preserve">XYZ Company </t>
  </si>
  <si>
    <t>PPAP Level</t>
  </si>
  <si>
    <t>6</t>
  </si>
  <si>
    <t>Level 3</t>
  </si>
  <si>
    <t>Use this as a portfolio/academic project. The supplier data in this workbook is simulated.</t>
  </si>
  <si>
    <t>Part Name</t>
  </si>
  <si>
    <t>7</t>
  </si>
  <si>
    <t>Motor Mounting Bracket</t>
  </si>
  <si>
    <t>For an interview, explain that the purpose is to help a quality team identify missing PPAP submissions and prioritize follow-up.</t>
  </si>
  <si>
    <t>Submission Date</t>
  </si>
  <si>
    <t>22-Aug-2026</t>
  </si>
  <si>
    <t>Part Number</t>
  </si>
  <si>
    <t>EMB-001</t>
  </si>
  <si>
    <t>Project Type</t>
  </si>
  <si>
    <t>Suggested interview explanation</t>
  </si>
  <si>
    <t>Simulated Academic Project</t>
  </si>
  <si>
    <t>No.</t>
  </si>
  <si>
    <t>I developed a simulated Excel-based PPAP Document Submission and Tracking Dashboard. The objective was to monitor the status of PPAP elements submitted by a supplier, identify missing or pending documents, calculate the completion percentage and create a priority action plan. I used Excel data validation, formulas, conditional formatting and charts to convert the supplier data into a simple decision-support tool for quality follow-up.</t>
  </si>
  <si>
    <t>PPAP Element</t>
  </si>
  <si>
    <t>Required</t>
  </si>
  <si>
    <t>Status</t>
  </si>
  <si>
    <t>Document Reference</t>
  </si>
  <si>
    <t>Remarks</t>
  </si>
  <si>
    <t>Design Records</t>
  </si>
  <si>
    <t>Yes</t>
  </si>
  <si>
    <t>Complete</t>
  </si>
  <si>
    <t>Drawing_RevA</t>
  </si>
  <si>
    <t>Verified</t>
  </si>
  <si>
    <t>Engineering Change Documents</t>
  </si>
  <si>
    <t>ECN_001</t>
  </si>
  <si>
    <t>Customer Engineering Approval</t>
  </si>
  <si>
    <t>Approval_01</t>
  </si>
  <si>
    <t>Approved</t>
  </si>
  <si>
    <t>DFMEA</t>
  </si>
  <si>
    <t>DFMEA_RevA</t>
  </si>
  <si>
    <t>Process Flow Diagram</t>
  </si>
  <si>
    <t>PFD_RevA</t>
  </si>
  <si>
    <t>PFMEA</t>
  </si>
  <si>
    <t>In Progress</t>
  </si>
  <si>
    <t>PFMEA_RevA</t>
  </si>
  <si>
    <t>Quality review pending</t>
  </si>
  <si>
    <t>Control Plan</t>
  </si>
  <si>
    <t>CP_RevA</t>
  </si>
  <si>
    <t>MSA</t>
  </si>
  <si>
    <t>MSA_01</t>
  </si>
  <si>
    <t>GR&amp;R pending</t>
  </si>
  <si>
    <t>Dimensional Results</t>
  </si>
  <si>
    <t>DIM_001</t>
  </si>
  <si>
    <t>Pass</t>
  </si>
  <si>
    <t>Material / Performance Test</t>
  </si>
  <si>
    <t>TEST_001</t>
  </si>
  <si>
    <t>Initial Process Study</t>
  </si>
  <si>
    <t>Not Started</t>
  </si>
  <si>
    <t>—</t>
  </si>
  <si>
    <t>Pending</t>
  </si>
  <si>
    <t>Laboratory Documentation</t>
  </si>
  <si>
    <t>LAB_001</t>
  </si>
  <si>
    <t>Appearance Approval</t>
  </si>
  <si>
    <t>AAR_001</t>
  </si>
  <si>
    <t>Sample Production Parts</t>
  </si>
  <si>
    <t>SAMPLE_001</t>
  </si>
  <si>
    <t>Received</t>
  </si>
  <si>
    <t>Master Sample</t>
  </si>
  <si>
    <t>MASTER_001</t>
  </si>
  <si>
    <t>Available</t>
  </si>
  <si>
    <t>Checking Aids</t>
  </si>
  <si>
    <t>GAUGE_001</t>
  </si>
  <si>
    <t>Customer-Specific Requirements</t>
  </si>
  <si>
    <t>CSR_001</t>
  </si>
  <si>
    <t>PSW</t>
  </si>
  <si>
    <t>PPAP Completion %</t>
  </si>
  <si>
    <t>Pending Documents</t>
  </si>
  <si>
    <t>Completed Documents</t>
  </si>
  <si>
    <t>Rejected Documents</t>
  </si>
  <si>
    <t>Overall Status</t>
  </si>
  <si>
    <t>SUPPLIER PPAP QUALITY DASHBOARD</t>
  </si>
  <si>
    <t>Part</t>
  </si>
  <si>
    <t>PPAP Completion</t>
  </si>
  <si>
    <t>Count</t>
  </si>
  <si>
    <t>Rejected</t>
  </si>
  <si>
    <t>PRIORITY ACTION PLAN</t>
  </si>
  <si>
    <t>Priority</t>
  </si>
  <si>
    <t>Document</t>
  </si>
  <si>
    <t>Issue</t>
  </si>
  <si>
    <t>Recommended Action</t>
  </si>
  <si>
    <t>High</t>
  </si>
  <si>
    <t>Request process capability study from supplier</t>
  </si>
  <si>
    <t>Project Note: Data is simulated for an academic/portfolio demonstration.</t>
  </si>
  <si>
    <t>Request completed PSW for quality review</t>
  </si>
  <si>
    <t>Medium</t>
  </si>
  <si>
    <t>Complete quality review and close comments</t>
  </si>
  <si>
    <t>Request GR&amp;R / measurement study completion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</si>
</sst>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rgb="FF000000"/>
      <name val="Arial"/>
      <scheme val="minor"/>
    </font>
    <font>
      <b/>
      <sz val="16.0"/>
      <color rgb="FFFFFFFF"/>
      <name val="Arial"/>
      <scheme val="minor"/>
    </font>
    <font/>
    <font>
      <b/>
      <color rgb="FFFFFFFF"/>
      <name val="Arial"/>
      <scheme val="minor"/>
    </font>
    <font>
      <b/>
      <color rgb="FF17365D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sz val="18.0"/>
      <color rgb="FFFFFFFF"/>
      <name val="Arial"/>
      <scheme val="minor"/>
    </font>
    <font>
      <b/>
      <sz val="16.0"/>
      <color rgb="FF17365D"/>
      <name val="Arial"/>
      <scheme val="minor"/>
    </font>
    <font>
      <i/>
      <color rgb="FF666666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5B9BD5"/>
        <bgColor rgb="FF5B9BD5"/>
      </patternFill>
    </fill>
    <fill>
      <patternFill patternType="solid">
        <fgColor rgb="FFD9EAF7"/>
        <bgColor rgb="FFD9EAF7"/>
      </patternFill>
    </fill>
  </fills>
  <borders count="15">
    <border/>
    <border>
      <left/>
      <top/>
      <bottom/>
    </border>
    <border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3" fillId="0" fontId="4" numFmtId="0" xfId="0" applyBorder="1" applyFont="1"/>
    <xf borderId="3" fillId="0" fontId="5" numFmtId="0" xfId="0" applyAlignment="1" applyBorder="1" applyFont="1">
      <alignment shrinkToFit="0" vertical="top" wrapText="1"/>
    </xf>
    <xf borderId="3" fillId="0" fontId="5" numFmtId="0" xfId="0" applyBorder="1" applyFont="1"/>
    <xf borderId="4" fillId="2" fontId="3" numFmtId="0" xfId="0" applyBorder="1" applyFill="1" applyFont="1"/>
    <xf borderId="3" fillId="2" fontId="3" numFmtId="0" xfId="0" applyAlignment="1" applyBorder="1" applyFill="1" applyFont="1">
      <alignment horizontal="center"/>
    </xf>
    <xf borderId="5" fillId="0" fontId="5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3" fillId="0" fontId="5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3" fillId="0" fontId="5" numFmtId="0" xfId="0" applyAlignment="1" applyBorder="1" applyFont="1">
      <alignment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3" fillId="4" fontId="4" numFmtId="0" xfId="0" applyBorder="1" applyFill="1" applyFont="1"/>
    <xf borderId="3" fillId="0" fontId="6" numFmtId="164" xfId="0" applyBorder="1" applyFont="1" applyNumberFormat="1"/>
    <xf borderId="3" fillId="0" fontId="6" numFmtId="0" xfId="0" applyBorder="1" applyFont="1"/>
    <xf borderId="1" fillId="2" fontId="7" numFmtId="0" xfId="0" applyAlignment="1" applyBorder="1" applyFill="1" applyFont="1">
      <alignment horizontal="center"/>
    </xf>
    <xf borderId="0" fillId="0" fontId="4" numFmtId="0" xfId="0" applyFont="1"/>
    <xf borderId="0" fillId="0" fontId="6" numFmtId="0" xfId="0" applyFont="1"/>
    <xf borderId="13" fillId="3" fontId="3" numFmtId="0" xfId="0" applyAlignment="1" applyBorder="1" applyFill="1" applyFont="1">
      <alignment horizontal="center" vertical="center"/>
    </xf>
    <xf borderId="14" fillId="0" fontId="2" numFmtId="0" xfId="0" applyBorder="1" applyFont="1"/>
    <xf borderId="13" fillId="4" fontId="8" numFmtId="164" xfId="0" applyAlignment="1" applyBorder="1" applyFill="1" applyFont="1" applyNumberFormat="1">
      <alignment horizontal="center" vertical="center"/>
    </xf>
    <xf borderId="13" fillId="4" fontId="8" numFmtId="1" xfId="0" applyAlignment="1" applyBorder="1" applyFill="1" applyFont="1" applyNumberFormat="1">
      <alignment horizontal="center" vertical="center"/>
    </xf>
    <xf borderId="13" fillId="4" fontId="8" numFmtId="49" xfId="0" applyAlignment="1" applyBorder="1" applyFill="1" applyFont="1" applyNumberFormat="1">
      <alignment horizontal="center" vertical="center"/>
    </xf>
    <xf borderId="3" fillId="2" fontId="3" numFmtId="0" xfId="0" applyBorder="1" applyFill="1" applyFont="1"/>
    <xf borderId="1" fillId="2" fontId="3" numFmtId="0" xfId="0" applyAlignment="1" applyBorder="1" applyFill="1" applyFont="1">
      <alignment horizontal="center"/>
    </xf>
    <xf borderId="3" fillId="3" fontId="3" numFmtId="0" xfId="0" applyBorder="1" applyFill="1" applyFont="1"/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PPAP Document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Dashboard!$B$9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Dashboard!$A$10:$A$13</c:f>
            </c:strRef>
          </c:cat>
          <c:val>
            <c:numRef>
              <c:f>Dashboard!$B$10:$B$13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1943100</xdr:colOff>
      <xdr:row>6</xdr:row>
      <xdr:rowOff>9525</xdr:rowOff>
    </xdr:from>
    <xdr:ext cx="3533775" cy="2476500"/>
    <xdr:graphicFrame>
      <xdr:nvGraphicFramePr>
        <xdr:cNvPr id="126124009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25.75"/>
    <col customWidth="1" min="2" max="2" width="32.0"/>
    <col customWidth="1" min="3" max="3" width="12.0"/>
    <col customWidth="1" min="4" max="4" width="16.0"/>
    <col customWidth="1" min="5" max="5" width="24.0"/>
    <col customWidth="1" min="6" max="6" width="28.0"/>
    <col customWidth="1" min="7" max="26" width="14.38"/>
  </cols>
  <sheetData>
    <row r="1">
      <c r="A1" s="1" t="s">
        <v>1</v>
      </c>
      <c r="B1" s="2"/>
      <c r="C1" s="2"/>
      <c r="D1" s="2"/>
      <c r="E1" s="2"/>
      <c r="F1" s="2"/>
    </row>
    <row r="3">
      <c r="A3" s="4" t="s">
        <v>3</v>
      </c>
      <c r="B3" s="6" t="s">
        <v>5</v>
      </c>
      <c r="D3" s="4" t="s">
        <v>11</v>
      </c>
      <c r="E3" s="6" t="s">
        <v>13</v>
      </c>
    </row>
    <row r="4">
      <c r="A4" s="4" t="s">
        <v>15</v>
      </c>
      <c r="B4" s="6" t="s">
        <v>17</v>
      </c>
      <c r="D4" s="4" t="s">
        <v>18</v>
      </c>
      <c r="E4" s="6" t="s">
        <v>20</v>
      </c>
    </row>
    <row r="5">
      <c r="A5" s="4" t="s">
        <v>22</v>
      </c>
      <c r="B5" s="6" t="s">
        <v>24</v>
      </c>
      <c r="D5" s="4" t="s">
        <v>26</v>
      </c>
      <c r="E5" s="6" t="s">
        <v>27</v>
      </c>
    </row>
    <row r="6">
      <c r="A6" s="4" t="s">
        <v>28</v>
      </c>
      <c r="B6" s="6" t="s">
        <v>29</v>
      </c>
      <c r="D6" s="4" t="s">
        <v>30</v>
      </c>
      <c r="E6" s="6" t="s">
        <v>32</v>
      </c>
    </row>
    <row r="8">
      <c r="A8" s="8" t="s">
        <v>33</v>
      </c>
      <c r="B8" s="8" t="s">
        <v>35</v>
      </c>
      <c r="C8" s="8" t="s">
        <v>36</v>
      </c>
      <c r="D8" s="8" t="s">
        <v>37</v>
      </c>
      <c r="E8" s="8" t="s">
        <v>38</v>
      </c>
      <c r="F8" s="8" t="s">
        <v>39</v>
      </c>
    </row>
    <row r="9">
      <c r="A9" s="12">
        <v>1.0</v>
      </c>
      <c r="B9" s="15" t="s">
        <v>40</v>
      </c>
      <c r="C9" s="12" t="s">
        <v>41</v>
      </c>
      <c r="D9" s="12" t="s">
        <v>42</v>
      </c>
      <c r="E9" s="15" t="s">
        <v>43</v>
      </c>
      <c r="F9" s="15" t="s">
        <v>44</v>
      </c>
    </row>
    <row r="10">
      <c r="A10" s="12">
        <v>2.0</v>
      </c>
      <c r="B10" s="15" t="s">
        <v>45</v>
      </c>
      <c r="C10" s="12" t="s">
        <v>41</v>
      </c>
      <c r="D10" s="12" t="s">
        <v>42</v>
      </c>
      <c r="E10" s="15" t="s">
        <v>46</v>
      </c>
      <c r="F10" s="15" t="s">
        <v>44</v>
      </c>
    </row>
    <row r="11">
      <c r="A11" s="12">
        <v>3.0</v>
      </c>
      <c r="B11" s="15" t="s">
        <v>47</v>
      </c>
      <c r="C11" s="12" t="s">
        <v>41</v>
      </c>
      <c r="D11" s="12" t="s">
        <v>42</v>
      </c>
      <c r="E11" s="15" t="s">
        <v>48</v>
      </c>
      <c r="F11" s="15" t="s">
        <v>49</v>
      </c>
    </row>
    <row r="12">
      <c r="A12" s="12">
        <v>4.0</v>
      </c>
      <c r="B12" s="15" t="s">
        <v>50</v>
      </c>
      <c r="C12" s="12" t="s">
        <v>41</v>
      </c>
      <c r="D12" s="12" t="s">
        <v>42</v>
      </c>
      <c r="E12" s="15" t="s">
        <v>51</v>
      </c>
      <c r="F12" s="15" t="s">
        <v>44</v>
      </c>
    </row>
    <row r="13">
      <c r="A13" s="12">
        <v>5.0</v>
      </c>
      <c r="B13" s="15" t="s">
        <v>52</v>
      </c>
      <c r="C13" s="12" t="s">
        <v>41</v>
      </c>
      <c r="D13" s="12" t="s">
        <v>42</v>
      </c>
      <c r="E13" s="15" t="s">
        <v>53</v>
      </c>
      <c r="F13" s="15" t="s">
        <v>44</v>
      </c>
    </row>
    <row r="14">
      <c r="A14" s="12">
        <v>6.0</v>
      </c>
      <c r="B14" s="15" t="s">
        <v>54</v>
      </c>
      <c r="C14" s="12" t="s">
        <v>41</v>
      </c>
      <c r="D14" s="12" t="s">
        <v>55</v>
      </c>
      <c r="E14" s="15" t="s">
        <v>56</v>
      </c>
      <c r="F14" s="15" t="s">
        <v>57</v>
      </c>
    </row>
    <row r="15">
      <c r="A15" s="12">
        <v>7.0</v>
      </c>
      <c r="B15" s="15" t="s">
        <v>58</v>
      </c>
      <c r="C15" s="12" t="s">
        <v>41</v>
      </c>
      <c r="D15" s="12" t="s">
        <v>42</v>
      </c>
      <c r="E15" s="15" t="s">
        <v>59</v>
      </c>
      <c r="F15" s="15" t="s">
        <v>44</v>
      </c>
    </row>
    <row r="16">
      <c r="A16" s="12">
        <v>8.0</v>
      </c>
      <c r="B16" s="15" t="s">
        <v>60</v>
      </c>
      <c r="C16" s="12" t="s">
        <v>41</v>
      </c>
      <c r="D16" s="12" t="s">
        <v>55</v>
      </c>
      <c r="E16" s="15" t="s">
        <v>61</v>
      </c>
      <c r="F16" s="15" t="s">
        <v>62</v>
      </c>
    </row>
    <row r="17">
      <c r="A17" s="12">
        <v>9.0</v>
      </c>
      <c r="B17" s="15" t="s">
        <v>63</v>
      </c>
      <c r="C17" s="12" t="s">
        <v>41</v>
      </c>
      <c r="D17" s="12" t="s">
        <v>42</v>
      </c>
      <c r="E17" s="15" t="s">
        <v>64</v>
      </c>
      <c r="F17" s="15" t="s">
        <v>65</v>
      </c>
    </row>
    <row r="18">
      <c r="A18" s="12">
        <v>10.0</v>
      </c>
      <c r="B18" s="15" t="s">
        <v>66</v>
      </c>
      <c r="C18" s="12" t="s">
        <v>41</v>
      </c>
      <c r="D18" s="12" t="s">
        <v>42</v>
      </c>
      <c r="E18" s="15" t="s">
        <v>67</v>
      </c>
      <c r="F18" s="15" t="s">
        <v>65</v>
      </c>
    </row>
    <row r="19">
      <c r="A19" s="12">
        <v>11.0</v>
      </c>
      <c r="B19" s="15" t="s">
        <v>68</v>
      </c>
      <c r="C19" s="12" t="s">
        <v>41</v>
      </c>
      <c r="D19" s="12" t="s">
        <v>69</v>
      </c>
      <c r="E19" s="15" t="s">
        <v>70</v>
      </c>
      <c r="F19" s="15" t="s">
        <v>71</v>
      </c>
    </row>
    <row r="20">
      <c r="A20" s="12">
        <v>12.0</v>
      </c>
      <c r="B20" s="15" t="s">
        <v>72</v>
      </c>
      <c r="C20" s="12" t="s">
        <v>41</v>
      </c>
      <c r="D20" s="12" t="s">
        <v>42</v>
      </c>
      <c r="E20" s="15" t="s">
        <v>73</v>
      </c>
      <c r="F20" s="15" t="s">
        <v>44</v>
      </c>
    </row>
    <row r="21" ht="15.75" customHeight="1">
      <c r="A21" s="12">
        <v>13.0</v>
      </c>
      <c r="B21" s="15" t="s">
        <v>74</v>
      </c>
      <c r="C21" s="12" t="s">
        <v>41</v>
      </c>
      <c r="D21" s="12" t="s">
        <v>42</v>
      </c>
      <c r="E21" s="15" t="s">
        <v>75</v>
      </c>
      <c r="F21" s="15" t="s">
        <v>49</v>
      </c>
    </row>
    <row r="22" ht="15.75" customHeight="1">
      <c r="A22" s="12">
        <v>14.0</v>
      </c>
      <c r="B22" s="15" t="s">
        <v>76</v>
      </c>
      <c r="C22" s="12" t="s">
        <v>41</v>
      </c>
      <c r="D22" s="12" t="s">
        <v>42</v>
      </c>
      <c r="E22" s="15" t="s">
        <v>77</v>
      </c>
      <c r="F22" s="15" t="s">
        <v>78</v>
      </c>
    </row>
    <row r="23" ht="15.75" customHeight="1">
      <c r="A23" s="12">
        <v>15.0</v>
      </c>
      <c r="B23" s="15" t="s">
        <v>79</v>
      </c>
      <c r="C23" s="12" t="s">
        <v>41</v>
      </c>
      <c r="D23" s="12" t="s">
        <v>42</v>
      </c>
      <c r="E23" s="15" t="s">
        <v>80</v>
      </c>
      <c r="F23" s="15" t="s">
        <v>81</v>
      </c>
    </row>
    <row r="24" ht="15.75" customHeight="1">
      <c r="A24" s="12">
        <v>16.0</v>
      </c>
      <c r="B24" s="15" t="s">
        <v>82</v>
      </c>
      <c r="C24" s="12" t="s">
        <v>41</v>
      </c>
      <c r="D24" s="12" t="s">
        <v>42</v>
      </c>
      <c r="E24" s="15" t="s">
        <v>83</v>
      </c>
      <c r="F24" s="15" t="s">
        <v>44</v>
      </c>
    </row>
    <row r="25" ht="15.75" customHeight="1">
      <c r="A25" s="12">
        <v>17.0</v>
      </c>
      <c r="B25" s="15" t="s">
        <v>84</v>
      </c>
      <c r="C25" s="12" t="s">
        <v>41</v>
      </c>
      <c r="D25" s="12" t="s">
        <v>42</v>
      </c>
      <c r="E25" s="15" t="s">
        <v>85</v>
      </c>
      <c r="F25" s="15" t="s">
        <v>44</v>
      </c>
    </row>
    <row r="26" ht="15.75" customHeight="1">
      <c r="A26" s="12">
        <v>18.0</v>
      </c>
      <c r="B26" s="15" t="s">
        <v>86</v>
      </c>
      <c r="C26" s="12" t="s">
        <v>41</v>
      </c>
      <c r="D26" s="12" t="s">
        <v>69</v>
      </c>
      <c r="E26" s="15" t="s">
        <v>70</v>
      </c>
      <c r="F26" s="15" t="s">
        <v>71</v>
      </c>
    </row>
    <row r="27" ht="15.75" customHeight="1"/>
    <row r="28" ht="15.75" customHeight="1"/>
    <row r="29" ht="15.75" customHeight="1">
      <c r="A29" s="19" t="s">
        <v>87</v>
      </c>
      <c r="B29" s="20">
        <f>COUNTIF(D9:D26,"Complete")/COUNTA(D9:D26)</f>
        <v>0.7777777778</v>
      </c>
    </row>
    <row r="30" ht="15.75" customHeight="1">
      <c r="A30" s="19" t="s">
        <v>88</v>
      </c>
      <c r="B30" s="21">
        <f>COUNTIF(D9:D26,"Not Started")+COUNTIF(D9:D26,"In Progress")</f>
        <v>4</v>
      </c>
    </row>
    <row r="31" ht="15.75" customHeight="1">
      <c r="A31" s="19" t="s">
        <v>89</v>
      </c>
      <c r="B31" s="21">
        <f>COUNTIF(D9:D26,"Complete")</f>
        <v>14</v>
      </c>
    </row>
    <row r="32" ht="15.75" customHeight="1">
      <c r="A32" s="19" t="s">
        <v>90</v>
      </c>
      <c r="B32" s="21">
        <f>COUNTIF(D9:D26,"Rejected")</f>
        <v>0</v>
      </c>
    </row>
    <row r="33" ht="15.75" customHeight="1">
      <c r="A33" s="19" t="s">
        <v>91</v>
      </c>
      <c r="B33" s="21" t="str">
        <f>IF(COUNTIF(D9:D26,"Rejected")&gt;0,"REJECTED",IF(COUNTIF(D9:D26,"Not Started")+COUNTIF(D9:D26,"In Progress")=0,"READY FOR REVIEW","PENDING"))</f>
        <v>PENDING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F$26"/>
  <mergeCells count="1">
    <mergeCell ref="A1:F1"/>
  </mergeCells>
  <conditionalFormatting sqref="D9:D26">
    <cfRule type="cellIs" dxfId="0" priority="1" operator="equal">
      <formula>"Complete"</formula>
    </cfRule>
  </conditionalFormatting>
  <conditionalFormatting sqref="D9:D26">
    <cfRule type="cellIs" dxfId="1" priority="2" operator="equal">
      <formula>"In Progress"</formula>
    </cfRule>
  </conditionalFormatting>
  <conditionalFormatting sqref="D9:D26">
    <cfRule type="cellIs" dxfId="2" priority="3" operator="equal">
      <formula>"Not Started"</formula>
    </cfRule>
  </conditionalFormatting>
  <conditionalFormatting sqref="D9:D26">
    <cfRule type="cellIs" dxfId="3" priority="4" operator="equal">
      <formula>"Rejected"</formula>
    </cfRule>
  </conditionalFormatting>
  <dataValidations>
    <dataValidation type="list" allowBlank="1" sqref="D9:D26">
      <formula1>"Not Started,In Progress,Complete,Rejected"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4" width="32.0"/>
    <col customWidth="1" min="5" max="8" width="18.0"/>
    <col customWidth="1" min="9" max="26" width="14.38"/>
  </cols>
  <sheetData>
    <row r="1" ht="27.75" customHeight="1">
      <c r="A1" s="22" t="s">
        <v>92</v>
      </c>
      <c r="B1" s="2"/>
      <c r="C1" s="2"/>
      <c r="D1" s="2"/>
      <c r="E1" s="2"/>
      <c r="F1" s="2"/>
      <c r="G1" s="2"/>
      <c r="H1" s="2"/>
    </row>
    <row r="3">
      <c r="A3" s="23" t="s">
        <v>3</v>
      </c>
      <c r="B3" s="24" t="str">
        <f>PPAP_Checklist!B3</f>
        <v>ABC Components Pvt. Ltd.</v>
      </c>
      <c r="D3" s="23" t="s">
        <v>93</v>
      </c>
      <c r="E3" s="24" t="str">
        <f>PPAP_Checklist!B5</f>
        <v>Motor Mounting Bracket</v>
      </c>
      <c r="G3" s="23" t="s">
        <v>18</v>
      </c>
      <c r="H3" s="24" t="str">
        <f>PPAP_Checklist!E4</f>
        <v>Level 3</v>
      </c>
    </row>
    <row r="5">
      <c r="A5" s="25" t="s">
        <v>94</v>
      </c>
      <c r="B5" s="26"/>
      <c r="C5" s="25" t="s">
        <v>88</v>
      </c>
      <c r="D5" s="26"/>
      <c r="E5" s="25" t="s">
        <v>89</v>
      </c>
      <c r="F5" s="26"/>
      <c r="G5" s="25" t="s">
        <v>91</v>
      </c>
      <c r="H5" s="26"/>
    </row>
    <row r="6" ht="37.5" customHeight="1">
      <c r="A6" s="27">
        <f>PPAP_Checklist!B29</f>
        <v>0.7777777778</v>
      </c>
      <c r="B6" s="26"/>
      <c r="C6" s="28">
        <f>PPAP_Checklist!B30</f>
        <v>4</v>
      </c>
      <c r="D6" s="26"/>
      <c r="E6" s="28">
        <f>PPAP_Checklist!B31</f>
        <v>14</v>
      </c>
      <c r="F6" s="26"/>
      <c r="G6" s="29" t="str">
        <f>PPAP_Checklist!B33</f>
        <v>PENDING</v>
      </c>
      <c r="H6" s="26"/>
    </row>
    <row r="9">
      <c r="A9" s="30" t="s">
        <v>37</v>
      </c>
      <c r="B9" s="30" t="s">
        <v>95</v>
      </c>
    </row>
    <row r="10">
      <c r="A10" s="6" t="s">
        <v>42</v>
      </c>
      <c r="B10" s="6">
        <f>COUNTIF(PPAP_Checklist!D9:D26,"Complete")</f>
        <v>14</v>
      </c>
    </row>
    <row r="11">
      <c r="A11" s="6" t="s">
        <v>55</v>
      </c>
      <c r="B11" s="6">
        <f>COUNTIF(PPAP_Checklist!D9:D26,"In Progress")</f>
        <v>2</v>
      </c>
    </row>
    <row r="12">
      <c r="A12" s="6" t="s">
        <v>69</v>
      </c>
      <c r="B12" s="6">
        <f>COUNTIF(PPAP_Checklist!D9:D26,"Not Started")</f>
        <v>2</v>
      </c>
    </row>
    <row r="13">
      <c r="A13" s="6" t="s">
        <v>96</v>
      </c>
      <c r="B13" s="6">
        <f>COUNTIF(PPAP_Checklist!D9:D26,"Rejected")</f>
        <v>0</v>
      </c>
    </row>
    <row r="17">
      <c r="A17" s="31" t="s">
        <v>97</v>
      </c>
      <c r="B17" s="2"/>
      <c r="C17" s="2"/>
      <c r="D17" s="2"/>
      <c r="E17" s="2"/>
      <c r="F17" s="2"/>
      <c r="G17" s="2"/>
      <c r="H17" s="2"/>
    </row>
    <row r="18">
      <c r="A18" s="32" t="s">
        <v>98</v>
      </c>
      <c r="B18" s="32" t="s">
        <v>99</v>
      </c>
      <c r="C18" s="32" t="s">
        <v>100</v>
      </c>
      <c r="D18" s="32" t="s">
        <v>101</v>
      </c>
    </row>
    <row r="19">
      <c r="A19" s="5" t="s">
        <v>102</v>
      </c>
      <c r="B19" s="5" t="s">
        <v>68</v>
      </c>
      <c r="C19" s="5" t="s">
        <v>69</v>
      </c>
      <c r="D19" s="5" t="s">
        <v>103</v>
      </c>
      <c r="F19" s="33" t="s">
        <v>104</v>
      </c>
    </row>
    <row r="20">
      <c r="A20" s="5" t="s">
        <v>102</v>
      </c>
      <c r="B20" s="5" t="s">
        <v>86</v>
      </c>
      <c r="C20" s="5" t="s">
        <v>69</v>
      </c>
      <c r="D20" s="5" t="s">
        <v>105</v>
      </c>
    </row>
    <row r="21" ht="15.75" customHeight="1">
      <c r="A21" s="5" t="s">
        <v>106</v>
      </c>
      <c r="B21" s="5" t="s">
        <v>54</v>
      </c>
      <c r="C21" s="5" t="s">
        <v>55</v>
      </c>
      <c r="D21" s="5" t="s">
        <v>107</v>
      </c>
    </row>
    <row r="22" ht="15.75" customHeight="1">
      <c r="A22" s="5" t="s">
        <v>106</v>
      </c>
      <c r="B22" s="5" t="s">
        <v>60</v>
      </c>
      <c r="C22" s="5" t="s">
        <v>55</v>
      </c>
      <c r="D22" s="5" t="s">
        <v>108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6:F6"/>
    <mergeCell ref="G6:H6"/>
    <mergeCell ref="A17:H17"/>
    <mergeCell ref="F19:H19"/>
    <mergeCell ref="A1:H1"/>
    <mergeCell ref="A5:B5"/>
    <mergeCell ref="C5:D5"/>
    <mergeCell ref="E5:F5"/>
    <mergeCell ref="G5:H5"/>
    <mergeCell ref="A6:B6"/>
    <mergeCell ref="C6:D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0.0"/>
    <col customWidth="1" min="3" max="4" width="15.0"/>
    <col customWidth="1" min="5" max="6" width="8.75"/>
    <col customWidth="1" min="7" max="26" width="14.38"/>
  </cols>
  <sheetData>
    <row r="1">
      <c r="A1" s="1" t="s">
        <v>0</v>
      </c>
      <c r="B1" s="2"/>
      <c r="C1" s="2"/>
      <c r="D1" s="2"/>
    </row>
    <row r="3">
      <c r="A3" s="3" t="s">
        <v>2</v>
      </c>
      <c r="B3" s="5" t="s">
        <v>4</v>
      </c>
    </row>
    <row r="4">
      <c r="A4" s="3" t="s">
        <v>6</v>
      </c>
      <c r="B4" s="5" t="s">
        <v>7</v>
      </c>
    </row>
    <row r="5">
      <c r="A5" s="3" t="s">
        <v>8</v>
      </c>
      <c r="B5" s="5" t="s">
        <v>9</v>
      </c>
    </row>
    <row r="6">
      <c r="A6" s="3" t="s">
        <v>10</v>
      </c>
      <c r="B6" s="5" t="s">
        <v>12</v>
      </c>
    </row>
    <row r="7">
      <c r="A7" s="3" t="s">
        <v>14</v>
      </c>
      <c r="B7" s="5" t="s">
        <v>16</v>
      </c>
    </row>
    <row r="8">
      <c r="A8" s="3" t="s">
        <v>19</v>
      </c>
      <c r="B8" s="5" t="s">
        <v>21</v>
      </c>
    </row>
    <row r="9">
      <c r="A9" s="3" t="s">
        <v>23</v>
      </c>
      <c r="B9" s="5" t="s">
        <v>25</v>
      </c>
    </row>
    <row r="13">
      <c r="A13" s="7" t="s">
        <v>31</v>
      </c>
    </row>
    <row r="14">
      <c r="A14" s="9" t="s">
        <v>34</v>
      </c>
      <c r="B14" s="10"/>
      <c r="C14" s="10"/>
      <c r="D14" s="11"/>
    </row>
    <row r="15">
      <c r="A15" s="13"/>
      <c r="D15" s="14"/>
    </row>
    <row r="16">
      <c r="A16" s="13"/>
      <c r="D16" s="14"/>
    </row>
    <row r="17">
      <c r="A17" s="16"/>
      <c r="B17" s="17"/>
      <c r="C17" s="17"/>
      <c r="D17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4:D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2026-08-22T09:53:13Z</dcterms:created>
  <dc:creator>openpyxl</dc:creator>
</cp:coreProperties>
</file>